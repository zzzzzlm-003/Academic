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yaren\Desktop\IEOR 4004 - Optimization\SPRING 2026\Lectures\1. LP\Week 3\"/>
    </mc:Choice>
  </mc:AlternateContent>
  <xr:revisionPtr revIDLastSave="0" documentId="13_ncr:1_{AE51CB62-9FFA-49F1-8891-6CD301B5BF0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In-Class" sheetId="2" r:id="rId1"/>
    <sheet name="Portfolio_LP" sheetId="1" r:id="rId2"/>
  </sheets>
  <definedNames>
    <definedName name="solver_adj" localSheetId="1" hidden="1">Portfolio_LP!$I$2:$I$7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Portfolio_LP!$C$12</definedName>
    <definedName name="solver_lhs2" localSheetId="1" hidden="1">Portfolio_LP!$C$13:$C$15</definedName>
    <definedName name="solver_lhs3" localSheetId="1" hidden="1">Portfolio_LP!$C$16</definedName>
    <definedName name="solver_lhs4" localSheetId="1" hidden="1">Portfolio_LP!$C$17:$C$19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4</definedName>
    <definedName name="solver_nwt" localSheetId="1" hidden="1">1</definedName>
    <definedName name="solver_opt" localSheetId="1" hidden="1">Portfolio_LP!$C$10</definedName>
    <definedName name="solver_pre" localSheetId="1" hidden="1">0.000001</definedName>
    <definedName name="solver_rbv" localSheetId="1" hidden="1">1</definedName>
    <definedName name="solver_rel1" localSheetId="1" hidden="1">2</definedName>
    <definedName name="solver_rel2" localSheetId="1" hidden="1">3</definedName>
    <definedName name="solver_rel3" localSheetId="1" hidden="1">1</definedName>
    <definedName name="solver_rel4" localSheetId="1" hidden="1">3</definedName>
    <definedName name="solver_rhs1" localSheetId="1" hidden="1">Portfolio_LP!$E$12</definedName>
    <definedName name="solver_rhs2" localSheetId="1" hidden="1">Portfolio_LP!$E$13:$E$15</definedName>
    <definedName name="solver_rhs3" localSheetId="1" hidden="1">Portfolio_LP!$E$16</definedName>
    <definedName name="solver_rhs4" localSheetId="1" hidden="1">Portfolio_LP!$E$17:$E$19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" l="1"/>
  <c r="C18" i="1"/>
  <c r="C17" i="1"/>
  <c r="C16" i="1"/>
  <c r="C15" i="1"/>
  <c r="C14" i="1"/>
  <c r="C13" i="1"/>
  <c r="C12" i="1"/>
  <c r="C10" i="1" a="1"/>
  <c r="C10" i="1" s="1"/>
  <c r="D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<sst xmlns="http://schemas.openxmlformats.org/spreadsheetml/2006/main" count="56" uniqueCount="31">
  <si>
    <t>i</t>
  </si>
  <si>
    <t>Asset</t>
  </si>
  <si>
    <t>U.S. equities</t>
  </si>
  <si>
    <t>Int’l equities</t>
  </si>
  <si>
    <t>Inv-grade corporates</t>
  </si>
  <si>
    <t>U.S. Treasuries</t>
  </si>
  <si>
    <t>REITs</t>
  </si>
  <si>
    <t>Cash</t>
  </si>
  <si>
    <t>x (decision)</t>
  </si>
  <si>
    <t>N/A</t>
  </si>
  <si>
    <t>Objective</t>
  </si>
  <si>
    <t>Constraints</t>
  </si>
  <si>
    <t>(The sum of the proportions must be 1)</t>
  </si>
  <si>
    <t>(At least 5% in cash)</t>
  </si>
  <si>
    <t>(At least 10% in real estate)</t>
  </si>
  <si>
    <t>(At least 30% in bonds)</t>
  </si>
  <si>
    <t>(At most 50% in stocks)</t>
  </si>
  <si>
    <t>=</t>
  </si>
  <si>
    <t>&gt;=</t>
  </si>
  <si>
    <t>&lt;=</t>
  </si>
  <si>
    <t>(Average ESG score must be at least 7)</t>
  </si>
  <si>
    <t>(Liquidity)</t>
  </si>
  <si>
    <t>(Safety)</t>
  </si>
  <si>
    <t>ExpReturn (mu)</t>
  </si>
  <si>
    <t>Bad year (b)</t>
  </si>
  <si>
    <t>TransCost (k)</t>
  </si>
  <si>
    <t>Duration (d)</t>
  </si>
  <si>
    <t>Liquidity (l)</t>
  </si>
  <si>
    <t>ESG (e )</t>
  </si>
  <si>
    <t>RHS</t>
  </si>
  <si>
    <t>LHS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</si>
</sst>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Inte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0" fillId="2" borderId="0" xfId="0" applyFill="1" applyAlignment="1">
      <alignment vertical="center"/>
    </xf>
    <xf numFmtId="0" fontId="3" fillId="0" borderId="0" xfId="0" applyFont="1" applyAlignment="1">
      <alignment horizontal="left" vertical="center" readingOrder="1"/>
    </xf>
    <xf numFmtId="0" fontId="0" fillId="0" borderId="0" xfId="0" quotePrefix="1" applyAlignment="1">
      <alignment vertical="center"/>
    </xf>
    <xf numFmtId="44" fontId="0" fillId="0" borderId="0" xfId="1" applyFont="1" applyAlignment="1">
      <alignment vertical="center"/>
    </xf>
    <xf numFmtId="9" fontId="2" fillId="2" borderId="0" xfId="2" applyFont="1" applyFill="1" applyAlignment="1">
      <alignment vertical="center"/>
    </xf>
    <xf numFmtId="9" fontId="0" fillId="0" borderId="0" xfId="0" applyNumberFormat="1" applyAlignment="1">
      <alignment vertical="center"/>
    </xf>
    <xf numFmtId="0" fontId="0" fillId="2" borderId="0" xfId="0" applyFill="1"/>
    <xf numFmtId="0" fontId="0" fillId="0" borderId="0" xfId="0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5437-C97A-44DF-8DF4-BD28D6E32BDC}">
  <dimension ref="A1:I12"/>
  <sheetViews>
    <sheetView tabSelected="1" zoomScale="130" zoomScaleNormal="130" workbookViewId="0">
      <selection activeCell="E17" sqref="E17:E18"/>
    </sheetView>
  </sheetViews>
  <sheetFormatPr defaultRowHeight="14.4"/>
  <cols>
    <col min="1" max="1" width="7.33203125" customWidth="1"/>
    <col min="2" max="9" width="15.33203125" customWidth="1"/>
  </cols>
  <sheetData>
    <row r="1" spans="1:9" s="3" customFormat="1">
      <c r="A1" s="3" t="s">
        <v>0</v>
      </c>
      <c r="B1" s="3" t="s">
        <v>1</v>
      </c>
      <c r="C1" s="3" t="s">
        <v>23</v>
      </c>
      <c r="D1" s="3" t="s">
        <v>28</v>
      </c>
      <c r="E1" s="3" t="s">
        <v>27</v>
      </c>
      <c r="F1" s="3" t="s">
        <v>26</v>
      </c>
      <c r="G1" s="3" t="s">
        <v>25</v>
      </c>
      <c r="H1" s="3" t="s">
        <v>24</v>
      </c>
      <c r="I1" s="3" t="s">
        <v>8</v>
      </c>
    </row>
    <row r="2" spans="1:9">
      <c r="A2" s="3">
        <v>1</v>
      </c>
      <c r="B2" t="s">
        <v>2</v>
      </c>
      <c r="C2" s="11">
        <v>0.08</v>
      </c>
      <c r="D2" s="11">
        <v>6</v>
      </c>
      <c r="E2" s="11">
        <v>9</v>
      </c>
      <c r="F2" s="11">
        <v>0</v>
      </c>
      <c r="G2" s="11">
        <v>4.0000000000000001E-3</v>
      </c>
      <c r="H2" s="11">
        <v>-0.15</v>
      </c>
      <c r="I2" s="10"/>
    </row>
    <row r="3" spans="1:9">
      <c r="A3" s="3">
        <v>2</v>
      </c>
      <c r="B3" t="s">
        <v>3</v>
      </c>
      <c r="C3" s="11">
        <v>7.0000000000000007E-2</v>
      </c>
      <c r="D3" s="11">
        <v>7</v>
      </c>
      <c r="E3" s="11">
        <v>8</v>
      </c>
      <c r="F3" s="11">
        <v>0</v>
      </c>
      <c r="G3" s="11">
        <v>4.0000000000000001E-3</v>
      </c>
      <c r="H3" s="11">
        <v>-0.12</v>
      </c>
      <c r="I3" s="10"/>
    </row>
    <row r="4" spans="1:9">
      <c r="A4" s="3">
        <v>3</v>
      </c>
      <c r="B4" t="s">
        <v>4</v>
      </c>
      <c r="C4" s="11">
        <v>5.5E-2</v>
      </c>
      <c r="D4" s="11">
        <v>6.5</v>
      </c>
      <c r="E4" s="11">
        <v>8.5</v>
      </c>
      <c r="F4" s="11">
        <v>6</v>
      </c>
      <c r="G4" s="11">
        <v>2E-3</v>
      </c>
      <c r="H4" s="11">
        <v>-0.03</v>
      </c>
      <c r="I4" s="10"/>
    </row>
    <row r="5" spans="1:9">
      <c r="A5" s="3">
        <v>4</v>
      </c>
      <c r="B5" t="s">
        <v>5</v>
      </c>
      <c r="C5" s="11">
        <v>0.04</v>
      </c>
      <c r="D5" s="11">
        <v>8</v>
      </c>
      <c r="E5" s="11">
        <v>10</v>
      </c>
      <c r="F5" s="11">
        <v>5</v>
      </c>
      <c r="G5" s="11">
        <v>2E-3</v>
      </c>
      <c r="H5" s="11">
        <v>0.02</v>
      </c>
      <c r="I5" s="10"/>
    </row>
    <row r="6" spans="1:9">
      <c r="A6" s="3">
        <v>5</v>
      </c>
      <c r="B6" t="s">
        <v>6</v>
      </c>
      <c r="C6" s="11">
        <v>6.2E-2</v>
      </c>
      <c r="D6" s="11">
        <v>5.5</v>
      </c>
      <c r="E6" s="11">
        <v>7</v>
      </c>
      <c r="F6" s="11">
        <v>0</v>
      </c>
      <c r="G6" s="11">
        <v>3.0000000000000001E-3</v>
      </c>
      <c r="H6" s="11">
        <v>-0.1</v>
      </c>
      <c r="I6" s="10"/>
    </row>
    <row r="7" spans="1:9">
      <c r="A7" s="3">
        <v>6</v>
      </c>
      <c r="B7" t="s">
        <v>7</v>
      </c>
      <c r="C7" s="11">
        <v>0</v>
      </c>
      <c r="D7" s="11" t="s">
        <v>9</v>
      </c>
      <c r="E7" s="11">
        <v>10</v>
      </c>
      <c r="F7" s="11">
        <v>0</v>
      </c>
      <c r="G7" s="11">
        <v>0</v>
      </c>
      <c r="H7" s="11" t="s">
        <v>9</v>
      </c>
      <c r="I7" s="10"/>
    </row>
    <row r="10" spans="1:9">
      <c r="B10" s="2" t="s">
        <v>10</v>
      </c>
    </row>
    <row r="11" spans="1:9">
      <c r="B11" s="1"/>
    </row>
    <row r="12" spans="1:9">
      <c r="B12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zoomScale="140" zoomScaleNormal="140" workbookViewId="0">
      <selection activeCell="J10" sqref="J10"/>
    </sheetView>
  </sheetViews>
  <sheetFormatPr defaultRowHeight="14.4"/>
  <cols>
    <col min="1" max="1" width="2.88671875" customWidth="1"/>
    <col min="2" max="2" width="18.33203125" customWidth="1"/>
    <col min="3" max="3" width="15" customWidth="1"/>
    <col min="4" max="4" width="12" customWidth="1"/>
    <col min="5" max="5" width="11.88671875" customWidth="1"/>
    <col min="6" max="6" width="13" customWidth="1"/>
    <col min="7" max="7" width="13.109375" customWidth="1"/>
    <col min="8" max="8" width="12.33203125" customWidth="1"/>
    <col min="9" max="9" width="12.109375" customWidth="1"/>
    <col min="10" max="10" width="20" customWidth="1"/>
  </cols>
  <sheetData>
    <row r="1" spans="1:10" s="3" customFormat="1">
      <c r="A1" s="2" t="s">
        <v>0</v>
      </c>
      <c r="B1" s="2" t="s">
        <v>1</v>
      </c>
      <c r="C1" s="2" t="s">
        <v>23</v>
      </c>
      <c r="D1" s="2" t="s">
        <v>28</v>
      </c>
      <c r="E1" s="2" t="s">
        <v>27</v>
      </c>
      <c r="F1" s="2" t="s">
        <v>26</v>
      </c>
      <c r="G1" s="2" t="s">
        <v>25</v>
      </c>
      <c r="H1" s="2" t="s">
        <v>24</v>
      </c>
      <c r="I1" s="2" t="s">
        <v>8</v>
      </c>
      <c r="J1" s="2"/>
    </row>
    <row r="2" spans="1:10">
      <c r="A2" s="2">
        <v>1</v>
      </c>
      <c r="B2" s="1" t="s">
        <v>2</v>
      </c>
      <c r="C2" s="1">
        <v>0.08</v>
      </c>
      <c r="D2" s="1">
        <v>6</v>
      </c>
      <c r="E2" s="1">
        <v>9</v>
      </c>
      <c r="F2" s="1">
        <v>0</v>
      </c>
      <c r="G2" s="1">
        <v>4.0000000000000001E-3</v>
      </c>
      <c r="H2" s="1">
        <v>-0.15</v>
      </c>
      <c r="I2" s="8">
        <v>0</v>
      </c>
      <c r="J2" s="1"/>
    </row>
    <row r="3" spans="1:10">
      <c r="A3" s="2">
        <v>2</v>
      </c>
      <c r="B3" s="1" t="s">
        <v>3</v>
      </c>
      <c r="C3" s="1">
        <v>7.0000000000000007E-2</v>
      </c>
      <c r="D3" s="1">
        <v>7</v>
      </c>
      <c r="E3" s="1">
        <v>8</v>
      </c>
      <c r="F3" s="1">
        <v>0</v>
      </c>
      <c r="G3" s="1">
        <v>4.0000000000000001E-3</v>
      </c>
      <c r="H3" s="1">
        <v>-0.12</v>
      </c>
      <c r="I3" s="8">
        <v>0.5</v>
      </c>
      <c r="J3" s="1"/>
    </row>
    <row r="4" spans="1:10">
      <c r="A4" s="2">
        <v>3</v>
      </c>
      <c r="B4" s="1" t="s">
        <v>4</v>
      </c>
      <c r="C4" s="1">
        <v>5.5E-2</v>
      </c>
      <c r="D4" s="1">
        <v>6.5</v>
      </c>
      <c r="E4" s="1">
        <v>8.5</v>
      </c>
      <c r="F4" s="1">
        <v>6</v>
      </c>
      <c r="G4" s="1">
        <v>2E-3</v>
      </c>
      <c r="H4" s="1">
        <v>-0.03</v>
      </c>
      <c r="I4" s="8">
        <v>0.13333333333333325</v>
      </c>
      <c r="J4" s="1"/>
    </row>
    <row r="5" spans="1:10">
      <c r="A5" s="2">
        <v>4</v>
      </c>
      <c r="B5" s="1" t="s">
        <v>5</v>
      </c>
      <c r="C5" s="1">
        <v>0.04</v>
      </c>
      <c r="D5" s="1">
        <v>8</v>
      </c>
      <c r="E5" s="1">
        <v>10</v>
      </c>
      <c r="F5" s="1">
        <v>5</v>
      </c>
      <c r="G5" s="1">
        <v>2E-3</v>
      </c>
      <c r="H5" s="1">
        <v>0.02</v>
      </c>
      <c r="I5" s="8">
        <v>0.21666666666666665</v>
      </c>
      <c r="J5" s="1"/>
    </row>
    <row r="6" spans="1:10">
      <c r="A6" s="2">
        <v>5</v>
      </c>
      <c r="B6" s="1" t="s">
        <v>6</v>
      </c>
      <c r="C6" s="1">
        <v>6.2E-2</v>
      </c>
      <c r="D6" s="1">
        <v>5.5</v>
      </c>
      <c r="E6" s="1">
        <v>7</v>
      </c>
      <c r="F6" s="1">
        <v>0</v>
      </c>
      <c r="G6" s="1">
        <v>3.0000000000000001E-3</v>
      </c>
      <c r="H6" s="1">
        <v>-0.1</v>
      </c>
      <c r="I6" s="8">
        <v>0.1</v>
      </c>
      <c r="J6" s="1"/>
    </row>
    <row r="7" spans="1:10">
      <c r="A7" s="2">
        <v>6</v>
      </c>
      <c r="B7" s="1" t="s">
        <v>7</v>
      </c>
      <c r="C7" s="1">
        <v>0</v>
      </c>
      <c r="D7" s="1" t="s">
        <v>9</v>
      </c>
      <c r="E7" s="1">
        <v>10</v>
      </c>
      <c r="F7" s="1">
        <v>0</v>
      </c>
      <c r="G7" s="1">
        <v>0</v>
      </c>
      <c r="H7" s="1" t="s">
        <v>9</v>
      </c>
      <c r="I7" s="8">
        <v>4.9999999999999933E-2</v>
      </c>
      <c r="J7" s="1"/>
    </row>
    <row r="8" spans="1:10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0">
      <c r="A10" s="1"/>
      <c r="B10" s="2" t="s">
        <v>10</v>
      </c>
      <c r="C10" s="4" cm="1">
        <f t="array" ref="C10">SUMPRODUCT((C2:C7-G2:G7),I2:I7)</f>
        <v>5.4199999999999998E-2</v>
      </c>
      <c r="D10" s="7">
        <f>C10*100000</f>
        <v>5420</v>
      </c>
      <c r="E10" s="1"/>
      <c r="F10" s="1"/>
      <c r="G10" s="1"/>
      <c r="H10" s="1"/>
      <c r="I10" s="1"/>
      <c r="J10" s="1"/>
    </row>
    <row r="11" spans="1:10">
      <c r="A11" s="1"/>
      <c r="B11" s="1"/>
      <c r="C11" s="1" t="s">
        <v>30</v>
      </c>
      <c r="D11" s="1"/>
      <c r="E11" s="1" t="s">
        <v>29</v>
      </c>
      <c r="F11" s="1"/>
      <c r="G11" s="1"/>
      <c r="H11" s="1"/>
      <c r="I11" s="1"/>
      <c r="J11" s="1"/>
    </row>
    <row r="12" spans="1:10">
      <c r="A12" s="1"/>
      <c r="B12" s="2" t="s">
        <v>11</v>
      </c>
      <c r="C12" s="9">
        <f>SUM(I2:I7)</f>
        <v>0.99999999999999989</v>
      </c>
      <c r="D12" s="6" t="s">
        <v>17</v>
      </c>
      <c r="E12" s="1">
        <v>1</v>
      </c>
      <c r="F12" s="5" t="s">
        <v>12</v>
      </c>
      <c r="G12" s="1"/>
      <c r="H12" s="1"/>
      <c r="I12" s="1"/>
      <c r="J12" s="1"/>
    </row>
    <row r="13" spans="1:10">
      <c r="A13" s="1"/>
      <c r="B13" s="1"/>
      <c r="C13" s="9">
        <f>I7</f>
        <v>4.9999999999999933E-2</v>
      </c>
      <c r="D13" s="6" t="s">
        <v>18</v>
      </c>
      <c r="E13" s="1">
        <v>0.05</v>
      </c>
      <c r="F13" s="5" t="s">
        <v>13</v>
      </c>
      <c r="G13" s="1"/>
      <c r="H13" s="1"/>
      <c r="I13" s="1"/>
      <c r="J13" s="1"/>
    </row>
    <row r="14" spans="1:10">
      <c r="A14" s="1"/>
      <c r="B14" s="1"/>
      <c r="C14" s="9">
        <f>I6</f>
        <v>0.1</v>
      </c>
      <c r="D14" s="6" t="s">
        <v>18</v>
      </c>
      <c r="E14">
        <v>0.1</v>
      </c>
      <c r="F14" s="5" t="s">
        <v>14</v>
      </c>
      <c r="G14" s="1"/>
      <c r="H14" s="1"/>
      <c r="I14" s="1"/>
      <c r="J14" s="1"/>
    </row>
    <row r="15" spans="1:10">
      <c r="A15" s="1"/>
      <c r="B15" s="1"/>
      <c r="C15" s="9">
        <f>SUM(I4:I5)</f>
        <v>0.34999999999999987</v>
      </c>
      <c r="D15" s="6" t="s">
        <v>18</v>
      </c>
      <c r="E15" s="1">
        <v>0.3</v>
      </c>
      <c r="F15" s="5" t="s">
        <v>15</v>
      </c>
      <c r="G15" s="1"/>
      <c r="H15" s="1"/>
      <c r="I15" s="1"/>
      <c r="J15" s="1"/>
    </row>
    <row r="16" spans="1:10">
      <c r="A16" s="1"/>
      <c r="B16" s="1"/>
      <c r="C16" s="9">
        <f>SUM(I2:I3)</f>
        <v>0.5</v>
      </c>
      <c r="D16" s="6" t="s">
        <v>19</v>
      </c>
      <c r="E16" s="1">
        <v>0.5</v>
      </c>
      <c r="F16" s="5" t="s">
        <v>16</v>
      </c>
      <c r="G16" s="1"/>
      <c r="H16" s="1"/>
      <c r="I16" s="1"/>
      <c r="J16" s="1"/>
    </row>
    <row r="17" spans="1:10">
      <c r="A17" s="1"/>
      <c r="B17" s="1"/>
      <c r="C17" s="1">
        <f>SUMPRODUCT(D2:D6,I2:I6)-7*SUM(I2:I6)</f>
        <v>0</v>
      </c>
      <c r="D17" s="6" t="s">
        <v>18</v>
      </c>
      <c r="E17" s="1">
        <v>0</v>
      </c>
      <c r="F17" s="5" t="s">
        <v>20</v>
      </c>
      <c r="G17" s="1"/>
      <c r="H17" s="1"/>
      <c r="I17" s="1"/>
      <c r="J17" s="1"/>
    </row>
    <row r="18" spans="1:10">
      <c r="A18" s="1"/>
      <c r="B18" s="1"/>
      <c r="C18" s="9">
        <f>I7+I5</f>
        <v>0.26666666666666661</v>
      </c>
      <c r="D18" s="1" t="s">
        <v>18</v>
      </c>
      <c r="E18" s="1">
        <v>0.2</v>
      </c>
      <c r="F18" s="5" t="s">
        <v>21</v>
      </c>
      <c r="G18" s="1"/>
      <c r="H18" s="1"/>
      <c r="I18" s="1"/>
      <c r="J18" s="1"/>
    </row>
    <row r="19" spans="1:10">
      <c r="A19" s="1"/>
      <c r="B19" s="1"/>
      <c r="C19" s="1">
        <f>(SUMPRODUCT(H2:H6,I2:I6))*100000</f>
        <v>-6966.666666666667</v>
      </c>
      <c r="D19" s="1" t="s">
        <v>18</v>
      </c>
      <c r="E19" s="1">
        <v>-8000</v>
      </c>
      <c r="F19" s="5" t="s">
        <v>22</v>
      </c>
      <c r="G19" s="1"/>
      <c r="H19" s="1"/>
      <c r="I19" s="1"/>
      <c r="J19" s="1"/>
    </row>
    <row r="20" spans="1:10">
      <c r="A20" s="1"/>
      <c r="B20" s="1"/>
      <c r="C20" s="1"/>
      <c r="D20" s="1"/>
      <c r="E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0">
      <c r="A22" s="1"/>
      <c r="B22" s="1"/>
      <c r="C22" s="1"/>
      <c r="D22" s="1"/>
      <c r="E22" s="1"/>
      <c r="F22" s="1"/>
      <c r="G22" s="1"/>
      <c r="H22" s="1"/>
      <c r="I22" s="1"/>
      <c r="J22" s="1"/>
    </row>
    <row r="23" spans="1:10">
      <c r="A23" s="1"/>
      <c r="B23" s="1"/>
      <c r="C23" s="1"/>
      <c r="D23" s="1"/>
      <c r="E23" s="1"/>
      <c r="F23" s="1"/>
      <c r="G23" s="1"/>
      <c r="H23" s="1"/>
      <c r="I23" s="1"/>
      <c r="J23" s="1"/>
    </row>
    <row r="24" spans="1:10">
      <c r="A24" s="1"/>
      <c r="B24" s="1"/>
      <c r="C24" s="1"/>
      <c r="D24" s="1"/>
      <c r="E24" s="1"/>
      <c r="F24" s="1"/>
      <c r="G24" s="1"/>
      <c r="H24" s="1"/>
      <c r="I24" s="1"/>
      <c r="J24" s="1"/>
    </row>
    <row r="25" spans="1:10">
      <c r="A25" s="1"/>
      <c r="B25" s="1"/>
      <c r="C25" s="1"/>
      <c r="D25" s="1"/>
      <c r="E25" s="1"/>
      <c r="F25" s="1"/>
      <c r="G25" s="1"/>
      <c r="H25" s="1"/>
      <c r="I25" s="1"/>
      <c r="J25" s="1"/>
    </row>
    <row r="26" spans="1:10">
      <c r="A26" s="1"/>
      <c r="B26" s="1"/>
      <c r="C26" s="1"/>
      <c r="D26" s="1"/>
      <c r="E26" s="1"/>
      <c r="F26" s="1"/>
      <c r="G26" s="1"/>
      <c r="H26" s="1"/>
      <c r="I26" s="1"/>
      <c r="J26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In-Class</vt:lpstr>
      <vt:lpstr>Portfolio_LP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ybk2105</cp:lastModifiedBy>
  <dcterms:created xsi:type="dcterms:W3CDTF">2025-09-10T03:14:37Z</dcterms:created>
  <dcterms:modified xsi:type="dcterms:W3CDTF">2026-02-02T17:02:47Z</dcterms:modified>
</cp:coreProperties>
</file>